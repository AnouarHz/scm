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ouar\PycharmProjects\scm\ROOT\"/>
    </mc:Choice>
  </mc:AlternateContent>
  <xr:revisionPtr revIDLastSave="0" documentId="13_ncr:1_{ED88F0C1-EFF2-469E-BBF9-0E2BA01320F9}" xr6:coauthVersionLast="47" xr6:coauthVersionMax="47" xr10:uidLastSave="{00000000-0000-0000-0000-000000000000}"/>
  <bookViews>
    <workbookView xWindow="-120" yWindow="-120" windowWidth="29040" windowHeight="15840" xr2:uid="{A2D5E02D-B118-4755-A46F-9D78F33943BD}"/>
  </bookViews>
  <sheets>
    <sheet name="Schablon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3" l="1"/>
  <c r="B31" i="3"/>
  <c r="B27" i="3"/>
  <c r="B23" i="3"/>
  <c r="B17" i="3"/>
  <c r="B14" i="3"/>
  <c r="B9" i="3"/>
  <c r="B3" i="3"/>
  <c r="F25" i="3"/>
  <c r="D25" i="3"/>
  <c r="F22" i="3"/>
  <c r="F21" i="3"/>
  <c r="F24" i="3"/>
  <c r="F30" i="3"/>
  <c r="D30" i="3"/>
  <c r="F29" i="3"/>
  <c r="D29" i="3"/>
  <c r="F28" i="3"/>
  <c r="D28" i="3"/>
  <c r="F26" i="3"/>
  <c r="D26" i="3"/>
  <c r="D24" i="3"/>
  <c r="D22" i="3"/>
  <c r="D21" i="3"/>
  <c r="F20" i="3"/>
  <c r="D20" i="3"/>
  <c r="F19" i="3"/>
  <c r="D19" i="3"/>
  <c r="F18" i="3"/>
  <c r="D18" i="3"/>
  <c r="F16" i="3"/>
  <c r="D16" i="3"/>
  <c r="F15" i="3"/>
  <c r="D15" i="3"/>
  <c r="F13" i="3"/>
  <c r="D13" i="3"/>
  <c r="F12" i="3"/>
  <c r="D12" i="3"/>
  <c r="F11" i="3"/>
  <c r="D11" i="3"/>
  <c r="F10" i="3"/>
  <c r="D10" i="3"/>
  <c r="F8" i="3"/>
  <c r="D8" i="3"/>
  <c r="F7" i="3"/>
  <c r="D7" i="3"/>
  <c r="F6" i="3"/>
  <c r="D6" i="3"/>
  <c r="F5" i="3"/>
  <c r="D5" i="3"/>
  <c r="F4" i="3"/>
  <c r="E31" i="3" s="1"/>
  <c r="D4" i="3"/>
</calcChain>
</file>

<file path=xl/sharedStrings.xml><?xml version="1.0" encoding="utf-8"?>
<sst xmlns="http://schemas.openxmlformats.org/spreadsheetml/2006/main" count="37" uniqueCount="36">
  <si>
    <t>Kriterium</t>
  </si>
  <si>
    <t>Reklamationshäufigkeit</t>
  </si>
  <si>
    <t>Termintreue</t>
  </si>
  <si>
    <t>Mengentreue</t>
  </si>
  <si>
    <t>Lieferfähigkeit</t>
  </si>
  <si>
    <t>Lieferbedingungen</t>
  </si>
  <si>
    <t>Logistikleitung</t>
  </si>
  <si>
    <t>Einkauf</t>
  </si>
  <si>
    <t>Preisniveau</t>
  </si>
  <si>
    <t>Kostentransparenz</t>
  </si>
  <si>
    <t>Auftragsbestätigungen</t>
  </si>
  <si>
    <t>Zahlungsbedingungen</t>
  </si>
  <si>
    <t>Technologie und Innovation</t>
  </si>
  <si>
    <t>Kooperation in Technik &amp;
Entwicklung</t>
  </si>
  <si>
    <t>Technologische Kompetenz 
und Innovationen</t>
  </si>
  <si>
    <t>Nachhaltigkeit</t>
  </si>
  <si>
    <t>Code of Conduct</t>
  </si>
  <si>
    <t>ISO 20600</t>
  </si>
  <si>
    <t>ISO 45001</t>
  </si>
  <si>
    <t>ISO 14001</t>
  </si>
  <si>
    <t>Eigenkapitalquote</t>
  </si>
  <si>
    <t>Digitalisierung</t>
  </si>
  <si>
    <t>Verwendung von SAP als ERP
oder Standardschnittstelle</t>
  </si>
  <si>
    <t>Rechnungsstellung via EDI</t>
  </si>
  <si>
    <t>Digitale Auftragsverfolgung</t>
  </si>
  <si>
    <t>Kobalt</t>
  </si>
  <si>
    <t>CO2-Emissionen</t>
  </si>
  <si>
    <t>Umwelt- und Sozialstandards im Bergbau</t>
  </si>
  <si>
    <t>Umgang mit Menschenrechten / 
Kinderarbeit im Bergbau</t>
  </si>
  <si>
    <t>Gewichtung</t>
  </si>
  <si>
    <t xml:space="preserve">Bewertung </t>
  </si>
  <si>
    <t>Nutzwert</t>
  </si>
  <si>
    <t>Summe Nutzwerte</t>
  </si>
  <si>
    <t>Bewertung</t>
  </si>
  <si>
    <t>Lieferant 1</t>
  </si>
  <si>
    <t>Lieferant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</si>
</sst>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9">
    <xf numFmtId="0" fontId="0" fillId="0" borderId="0" xfId="0"/>
    <xf numFmtId="0" fontId="0" fillId="2" borderId="6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/>
    </xf>
    <xf numFmtId="0" fontId="0" fillId="2" borderId="13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13" xfId="0" applyFill="1" applyBorder="1" applyAlignment="1">
      <alignment horizontal="left" vertical="top"/>
    </xf>
    <xf numFmtId="0" fontId="0" fillId="2" borderId="18" xfId="0" applyFill="1" applyBorder="1" applyAlignment="1">
      <alignment horizontal="left" vertical="top"/>
    </xf>
    <xf numFmtId="0" fontId="1" fillId="2" borderId="22" xfId="0" applyFont="1" applyFill="1" applyBorder="1" applyAlignment="1">
      <alignment vertical="top"/>
    </xf>
    <xf numFmtId="9" fontId="1" fillId="2" borderId="7" xfId="1" applyFont="1" applyFill="1" applyBorder="1" applyAlignment="1">
      <alignment horizontal="center" vertical="top"/>
    </xf>
    <xf numFmtId="2" fontId="0" fillId="0" borderId="21" xfId="0" applyNumberFormat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9" fontId="0" fillId="3" borderId="10" xfId="1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9" fontId="0" fillId="3" borderId="6" xfId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9" fontId="0" fillId="3" borderId="9" xfId="1" applyFont="1" applyFill="1" applyBorder="1" applyAlignment="1">
      <alignment horizontal="center"/>
    </xf>
    <xf numFmtId="9" fontId="0" fillId="3" borderId="13" xfId="1" applyFont="1" applyFill="1" applyBorder="1" applyAlignment="1">
      <alignment horizontal="center"/>
    </xf>
    <xf numFmtId="9" fontId="0" fillId="3" borderId="11" xfId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9" fontId="0" fillId="3" borderId="7" xfId="1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 vertical="top"/>
    </xf>
    <xf numFmtId="0" fontId="1" fillId="2" borderId="23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B4E8A0-3D59-8849-9980-91919DCEE009}">
  <we:reference id="ccf3b6fe-92cf-4884-a902-238ad9305f9a" version="1.0.0.3" store="EXCatalog" storeType="EXCatalog"/>
  <we:alternateReferences>
    <we:reference id="WA200002252" version="1.0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_xldudf_WISE</we:customFunctionIds>
        <we:customFunctionIds>_xldudf_WISEPRICE</we:customFunctionIds>
        <we:customFunctionIds>_xldudf_WISEFUNDS</we:customFunctionIds>
        <we:customFunctionIds>_xldudf_WISEOPTIONS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8986-6504-4AE7-97D4-29870B89F287}">
  <dimension ref="A1:F32"/>
  <sheetViews>
    <sheetView tabSelected="1" workbookViewId="0">
      <selection activeCell="B1" sqref="B1:B2"/>
    </sheetView>
  </sheetViews>
  <sheetFormatPr baseColWidth="10" defaultRowHeight="15" x14ac:dyDescent="0.25"/>
  <cols>
    <col min="1" max="1" width="43.42578125" customWidth="1"/>
  </cols>
  <sheetData>
    <row r="1" spans="1:6" x14ac:dyDescent="0.25">
      <c r="A1" s="27" t="s">
        <v>0</v>
      </c>
      <c r="B1" s="37" t="s">
        <v>29</v>
      </c>
      <c r="C1" s="29" t="s">
        <v>34</v>
      </c>
      <c r="D1" s="30"/>
      <c r="E1" s="30" t="s">
        <v>35</v>
      </c>
      <c r="F1" s="31"/>
    </row>
    <row r="2" spans="1:6" ht="15.75" thickBot="1" x14ac:dyDescent="0.3">
      <c r="A2" s="28"/>
      <c r="B2" s="38"/>
      <c r="C2" s="24" t="s">
        <v>33</v>
      </c>
      <c r="D2" s="25" t="s">
        <v>31</v>
      </c>
      <c r="E2" s="25" t="s">
        <v>30</v>
      </c>
      <c r="F2" s="26" t="s">
        <v>31</v>
      </c>
    </row>
    <row r="3" spans="1:6" ht="15.75" thickBot="1" x14ac:dyDescent="0.3">
      <c r="A3" s="8" t="s">
        <v>6</v>
      </c>
      <c r="B3" s="9">
        <f>SUM(B4:B8)</f>
        <v>0.18</v>
      </c>
      <c r="C3" s="32"/>
      <c r="D3" s="33"/>
      <c r="E3" s="33"/>
      <c r="F3" s="34"/>
    </row>
    <row r="4" spans="1:6" ht="15.75" thickBot="1" x14ac:dyDescent="0.3">
      <c r="A4" s="6" t="s">
        <v>1</v>
      </c>
      <c r="B4" s="13">
        <v>0.04</v>
      </c>
      <c r="C4" s="14"/>
      <c r="D4" s="15">
        <f>B4*C4</f>
        <v>0</v>
      </c>
      <c r="E4" s="15"/>
      <c r="F4" s="15">
        <f>B4*E4</f>
        <v>0</v>
      </c>
    </row>
    <row r="5" spans="1:6" ht="15.75" thickBot="1" x14ac:dyDescent="0.3">
      <c r="A5" s="1" t="s">
        <v>2</v>
      </c>
      <c r="B5" s="16">
        <v>0.05</v>
      </c>
      <c r="C5" s="17"/>
      <c r="D5" s="15">
        <f>B5*C5</f>
        <v>0</v>
      </c>
      <c r="E5" s="18"/>
      <c r="F5" s="15">
        <f t="shared" ref="F5:F6" si="0">B5*E5</f>
        <v>0</v>
      </c>
    </row>
    <row r="6" spans="1:6" ht="15.75" thickBot="1" x14ac:dyDescent="0.3">
      <c r="A6" s="1" t="s">
        <v>3</v>
      </c>
      <c r="B6" s="16">
        <v>0.03</v>
      </c>
      <c r="C6" s="17"/>
      <c r="D6" s="15">
        <f>B6*C6</f>
        <v>0</v>
      </c>
      <c r="E6" s="18"/>
      <c r="F6" s="15">
        <f t="shared" si="0"/>
        <v>0</v>
      </c>
    </row>
    <row r="7" spans="1:6" ht="15.75" thickBot="1" x14ac:dyDescent="0.3">
      <c r="A7" s="1" t="s">
        <v>4</v>
      </c>
      <c r="B7" s="16">
        <v>0.05</v>
      </c>
      <c r="C7" s="17"/>
      <c r="D7" s="15">
        <f>B7*C7</f>
        <v>0</v>
      </c>
      <c r="E7" s="18"/>
      <c r="F7" s="15">
        <f>B7*E7</f>
        <v>0</v>
      </c>
    </row>
    <row r="8" spans="1:6" ht="15.75" thickBot="1" x14ac:dyDescent="0.3">
      <c r="A8" s="3" t="s">
        <v>5</v>
      </c>
      <c r="B8" s="19">
        <v>0.01</v>
      </c>
      <c r="C8" s="11"/>
      <c r="D8" s="15">
        <f>B8*C8</f>
        <v>0</v>
      </c>
      <c r="E8" s="12"/>
      <c r="F8" s="15">
        <f>B8*E8</f>
        <v>0</v>
      </c>
    </row>
    <row r="9" spans="1:6" ht="15.75" thickBot="1" x14ac:dyDescent="0.3">
      <c r="A9" s="8" t="s">
        <v>7</v>
      </c>
      <c r="B9" s="9">
        <f>SUM(B10:B13)</f>
        <v>7.0000000000000007E-2</v>
      </c>
      <c r="C9" s="32"/>
      <c r="D9" s="33"/>
      <c r="E9" s="33"/>
      <c r="F9" s="34"/>
    </row>
    <row r="10" spans="1:6" ht="15.75" thickBot="1" x14ac:dyDescent="0.3">
      <c r="A10" s="6" t="s">
        <v>8</v>
      </c>
      <c r="B10" s="20">
        <v>0.03</v>
      </c>
      <c r="C10" s="14"/>
      <c r="D10" s="15">
        <f>B10*C10</f>
        <v>0</v>
      </c>
      <c r="E10" s="15"/>
      <c r="F10" s="15">
        <f>B10*E10</f>
        <v>0</v>
      </c>
    </row>
    <row r="11" spans="1:6" ht="15.75" thickBot="1" x14ac:dyDescent="0.3">
      <c r="A11" s="1" t="s">
        <v>9</v>
      </c>
      <c r="B11" s="16">
        <v>0.02</v>
      </c>
      <c r="C11" s="17"/>
      <c r="D11" s="15">
        <f>B11*C11</f>
        <v>0</v>
      </c>
      <c r="E11" s="18"/>
      <c r="F11" s="15">
        <f t="shared" ref="F11:F13" si="1">B11*E11</f>
        <v>0</v>
      </c>
    </row>
    <row r="12" spans="1:6" ht="15.75" thickBot="1" x14ac:dyDescent="0.3">
      <c r="A12" s="1" t="s">
        <v>10</v>
      </c>
      <c r="B12" s="16">
        <v>1.4999999999999999E-2</v>
      </c>
      <c r="C12" s="17"/>
      <c r="D12" s="15">
        <f>B12*C12</f>
        <v>0</v>
      </c>
      <c r="E12" s="18"/>
      <c r="F12" s="15">
        <f t="shared" si="1"/>
        <v>0</v>
      </c>
    </row>
    <row r="13" spans="1:6" ht="15.75" thickBot="1" x14ac:dyDescent="0.3">
      <c r="A13" s="3" t="s">
        <v>11</v>
      </c>
      <c r="B13" s="21">
        <v>5.0000000000000001E-3</v>
      </c>
      <c r="C13" s="11"/>
      <c r="D13" s="15">
        <f>B13*C13</f>
        <v>0</v>
      </c>
      <c r="E13" s="12"/>
      <c r="F13" s="15">
        <f t="shared" si="1"/>
        <v>0</v>
      </c>
    </row>
    <row r="14" spans="1:6" ht="19.5" customHeight="1" thickBot="1" x14ac:dyDescent="0.3">
      <c r="A14" s="8" t="s">
        <v>12</v>
      </c>
      <c r="B14" s="9">
        <f>SUM(B15:B16)</f>
        <v>0.18</v>
      </c>
      <c r="C14" s="32"/>
      <c r="D14" s="33"/>
      <c r="E14" s="33"/>
      <c r="F14" s="34"/>
    </row>
    <row r="15" spans="1:6" ht="29.25" customHeight="1" thickBot="1" x14ac:dyDescent="0.3">
      <c r="A15" s="4" t="s">
        <v>13</v>
      </c>
      <c r="B15" s="13">
        <v>0.09</v>
      </c>
      <c r="C15" s="14"/>
      <c r="D15" s="15">
        <f>B15*C15</f>
        <v>0</v>
      </c>
      <c r="E15" s="15"/>
      <c r="F15" s="15">
        <f>B15*E15</f>
        <v>0</v>
      </c>
    </row>
    <row r="16" spans="1:6" ht="30.75" thickBot="1" x14ac:dyDescent="0.3">
      <c r="A16" s="5" t="s">
        <v>14</v>
      </c>
      <c r="B16" s="22">
        <v>0.09</v>
      </c>
      <c r="C16" s="11"/>
      <c r="D16" s="15">
        <f>B16*C16</f>
        <v>0</v>
      </c>
      <c r="E16" s="12"/>
      <c r="F16" s="15">
        <f>B16*E16</f>
        <v>0</v>
      </c>
    </row>
    <row r="17" spans="1:6" ht="15.75" thickBot="1" x14ac:dyDescent="0.3">
      <c r="A17" s="8" t="s">
        <v>15</v>
      </c>
      <c r="B17" s="9">
        <f>SUM(B18:B22)</f>
        <v>0.19</v>
      </c>
      <c r="C17" s="32"/>
      <c r="D17" s="33"/>
      <c r="E17" s="33"/>
      <c r="F17" s="34"/>
    </row>
    <row r="18" spans="1:6" ht="15.75" thickBot="1" x14ac:dyDescent="0.3">
      <c r="A18" s="6" t="s">
        <v>16</v>
      </c>
      <c r="B18" s="13">
        <v>0.05</v>
      </c>
      <c r="C18" s="14"/>
      <c r="D18" s="15">
        <f>B18*C18</f>
        <v>0</v>
      </c>
      <c r="E18" s="15"/>
      <c r="F18" s="15">
        <f>B18*E18</f>
        <v>0</v>
      </c>
    </row>
    <row r="19" spans="1:6" ht="15.75" thickBot="1" x14ac:dyDescent="0.3">
      <c r="A19" s="1" t="s">
        <v>17</v>
      </c>
      <c r="B19" s="23">
        <v>0.04</v>
      </c>
      <c r="C19" s="17"/>
      <c r="D19" s="15">
        <f>B19*C19</f>
        <v>0</v>
      </c>
      <c r="E19" s="18"/>
      <c r="F19" s="15">
        <f>B19*E19</f>
        <v>0</v>
      </c>
    </row>
    <row r="20" spans="1:6" ht="15.75" thickBot="1" x14ac:dyDescent="0.3">
      <c r="A20" s="1" t="s">
        <v>18</v>
      </c>
      <c r="B20" s="23">
        <v>3.5000000000000003E-2</v>
      </c>
      <c r="C20" s="17"/>
      <c r="D20" s="15">
        <f>B20*C20</f>
        <v>0</v>
      </c>
      <c r="E20" s="18"/>
      <c r="F20" s="15">
        <f>B20*E20</f>
        <v>0</v>
      </c>
    </row>
    <row r="21" spans="1:6" ht="15.75" thickBot="1" x14ac:dyDescent="0.3">
      <c r="A21" s="1" t="s">
        <v>19</v>
      </c>
      <c r="B21" s="23">
        <v>3.5000000000000003E-2</v>
      </c>
      <c r="C21" s="17"/>
      <c r="D21" s="15">
        <f>B21*C21</f>
        <v>0</v>
      </c>
      <c r="E21" s="18"/>
      <c r="F21" s="15">
        <f>B21*E21</f>
        <v>0</v>
      </c>
    </row>
    <row r="22" spans="1:6" ht="15.75" thickBot="1" x14ac:dyDescent="0.3">
      <c r="A22" s="3" t="s">
        <v>20</v>
      </c>
      <c r="B22" s="19">
        <v>0.03</v>
      </c>
      <c r="C22" s="11"/>
      <c r="D22" s="15">
        <f>B22*C22</f>
        <v>0</v>
      </c>
      <c r="E22" s="12"/>
      <c r="F22" s="15">
        <f>B22*E22</f>
        <v>0</v>
      </c>
    </row>
    <row r="23" spans="1:6" ht="18.75" customHeight="1" thickBot="1" x14ac:dyDescent="0.3">
      <c r="A23" s="8" t="s">
        <v>21</v>
      </c>
      <c r="B23" s="9">
        <f>SUM(B24:B26)</f>
        <v>0.14000000000000001</v>
      </c>
      <c r="C23" s="32"/>
      <c r="D23" s="33"/>
      <c r="E23" s="33"/>
      <c r="F23" s="34"/>
    </row>
    <row r="24" spans="1:6" ht="30.75" thickBot="1" x14ac:dyDescent="0.3">
      <c r="A24" s="4" t="s">
        <v>22</v>
      </c>
      <c r="B24" s="20">
        <v>0.06</v>
      </c>
      <c r="C24" s="14"/>
      <c r="D24" s="15">
        <f>B24*C24</f>
        <v>0</v>
      </c>
      <c r="E24" s="15"/>
      <c r="F24" s="15">
        <f>B24*E24</f>
        <v>0</v>
      </c>
    </row>
    <row r="25" spans="1:6" ht="15.75" thickBot="1" x14ac:dyDescent="0.3">
      <c r="A25" s="1" t="s">
        <v>23</v>
      </c>
      <c r="B25" s="16">
        <v>0.03</v>
      </c>
      <c r="C25" s="17"/>
      <c r="D25" s="15">
        <f>B25*C25</f>
        <v>0</v>
      </c>
      <c r="E25" s="18"/>
      <c r="F25" s="15">
        <f>B25*E25</f>
        <v>0</v>
      </c>
    </row>
    <row r="26" spans="1:6" ht="15.75" thickBot="1" x14ac:dyDescent="0.3">
      <c r="A26" s="1" t="s">
        <v>24</v>
      </c>
      <c r="B26" s="21">
        <v>0.05</v>
      </c>
      <c r="C26" s="11"/>
      <c r="D26" s="15">
        <f>B26*C26</f>
        <v>0</v>
      </c>
      <c r="E26" s="12"/>
      <c r="F26" s="15">
        <f>B26*E26</f>
        <v>0</v>
      </c>
    </row>
    <row r="27" spans="1:6" ht="15.75" thickBot="1" x14ac:dyDescent="0.3">
      <c r="A27" s="8" t="s">
        <v>25</v>
      </c>
      <c r="B27" s="9">
        <f>SUM(B28:B30)</f>
        <v>0.24000000000000002</v>
      </c>
      <c r="C27" s="32"/>
      <c r="D27" s="33"/>
      <c r="E27" s="33"/>
      <c r="F27" s="34"/>
    </row>
    <row r="28" spans="1:6" ht="15.75" thickBot="1" x14ac:dyDescent="0.3">
      <c r="A28" s="1" t="s">
        <v>26</v>
      </c>
      <c r="B28" s="16">
        <v>0.06</v>
      </c>
      <c r="C28" s="14"/>
      <c r="D28" s="15">
        <f>B28*C28</f>
        <v>0</v>
      </c>
      <c r="E28" s="15"/>
      <c r="F28" s="15">
        <f>B28*E28</f>
        <v>0</v>
      </c>
    </row>
    <row r="29" spans="1:6" ht="15.75" thickBot="1" x14ac:dyDescent="0.3">
      <c r="A29" s="1" t="s">
        <v>27</v>
      </c>
      <c r="B29" s="16">
        <v>0.08</v>
      </c>
      <c r="C29" s="17"/>
      <c r="D29" s="15">
        <f>B29*C29</f>
        <v>0</v>
      </c>
      <c r="E29" s="18"/>
      <c r="F29" s="15">
        <f>B29*E29</f>
        <v>0</v>
      </c>
    </row>
    <row r="30" spans="1:6" ht="30.75" thickBot="1" x14ac:dyDescent="0.3">
      <c r="A30" s="2" t="s">
        <v>28</v>
      </c>
      <c r="B30" s="16">
        <v>0.1</v>
      </c>
      <c r="C30" s="17"/>
      <c r="D30" s="15">
        <f>B30*C30</f>
        <v>0</v>
      </c>
      <c r="E30" s="18"/>
      <c r="F30" s="15">
        <f>B30*E30</f>
        <v>0</v>
      </c>
    </row>
    <row r="31" spans="1:6" ht="15.75" thickBot="1" x14ac:dyDescent="0.3">
      <c r="A31" s="7" t="s">
        <v>32</v>
      </c>
      <c r="B31" s="10">
        <f>SUM(B4:B8,B10:B13,B15:B16,B18:B22,B24:B26,B28:B30)</f>
        <v>1</v>
      </c>
      <c r="C31" s="35">
        <f>SUM(D4:D8,D10:D13,D15:D16,D18:D22,D24:D26,D28:D30)</f>
        <v>0</v>
      </c>
      <c r="D31" s="36"/>
      <c r="E31" s="35">
        <f>SUM(F4:F8,F10:F13,F15:F16,F18:F22,F24:F26,F28:F30)</f>
        <v>0</v>
      </c>
      <c r="F31" s="36"/>
    </row>
    <row r="32" spans="1:6" ht="15.75" thickTop="1" x14ac:dyDescent="0.25"/>
  </sheetData>
  <mergeCells count="12">
    <mergeCell ref="C31:D31"/>
    <mergeCell ref="E31:F31"/>
    <mergeCell ref="C14:F14"/>
    <mergeCell ref="C17:F17"/>
    <mergeCell ref="C23:F23"/>
    <mergeCell ref="C27:F27"/>
    <mergeCell ref="A1:A2"/>
    <mergeCell ref="B1:B2"/>
    <mergeCell ref="C1:D1"/>
    <mergeCell ref="E1:F1"/>
    <mergeCell ref="C9:F9"/>
    <mergeCell ref="C3:F3"/>
  </mergeCells>
  <conditionalFormatting sqref="C31:F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Schablone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Anouar Hizaoui</dc:creator>
  <cp:lastModifiedBy>Anouar Hizaoui</cp:lastModifiedBy>
  <dcterms:created xsi:type="dcterms:W3CDTF">2025-12-28T20:32:47Z</dcterms:created>
  <dcterms:modified xsi:type="dcterms:W3CDTF">2026-01-13T21:44:20Z</dcterms:modified>
</cp:coreProperties>
</file>